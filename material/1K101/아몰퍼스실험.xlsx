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s\2025\8. 한양대 - 선박용MVDC\"/>
    </mc:Choice>
  </mc:AlternateContent>
  <xr:revisionPtr revIDLastSave="0" documentId="13_ncr:1_{E6B7E417-D09A-4647-9DF8-98556E9877B7}" xr6:coauthVersionLast="47" xr6:coauthVersionMax="47" xr10:uidLastSave="{00000000-0000-0000-0000-000000000000}"/>
  <bookViews>
    <workbookView xWindow="1890" yWindow="2325" windowWidth="32370" windowHeight="15345" xr2:uid="{B54A47C3-60BE-4D61-8363-B5038E870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" i="1" l="1"/>
  <c r="M9" i="1"/>
  <c r="S3" i="1"/>
  <c r="P3" i="1"/>
  <c r="M3" i="1"/>
  <c r="M7" i="1"/>
  <c r="M13" i="1"/>
  <c r="O14" i="1"/>
  <c r="M1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  <c r="C2" i="1"/>
  <c r="E2" i="1" s="1"/>
  <c r="M2" i="1"/>
  <c r="J4" i="1" l="1"/>
  <c r="H4" i="1"/>
  <c r="I4" i="1" s="1"/>
  <c r="E4" i="1"/>
  <c r="F4" i="1" s="1"/>
  <c r="H5" i="1"/>
  <c r="I5" i="1" s="1"/>
  <c r="J5" i="1"/>
  <c r="E5" i="1"/>
  <c r="F5" i="1" s="1"/>
  <c r="E6" i="1"/>
  <c r="F6" i="1" s="1"/>
  <c r="H6" i="1"/>
  <c r="I6" i="1" s="1"/>
  <c r="J6" i="1"/>
  <c r="H7" i="1"/>
  <c r="I7" i="1" s="1"/>
  <c r="E7" i="1"/>
  <c r="F7" i="1" s="1"/>
  <c r="J7" i="1"/>
  <c r="E8" i="1"/>
  <c r="F8" i="1" s="1"/>
  <c r="J8" i="1"/>
  <c r="H8" i="1"/>
  <c r="I8" i="1" s="1"/>
  <c r="H9" i="1"/>
  <c r="I9" i="1" s="1"/>
  <c r="E9" i="1"/>
  <c r="J9" i="1"/>
  <c r="E10" i="1"/>
  <c r="F10" i="1" s="1"/>
  <c r="J10" i="1"/>
  <c r="H10" i="1"/>
  <c r="I10" i="1" s="1"/>
  <c r="H11" i="1"/>
  <c r="I11" i="1" s="1"/>
  <c r="J11" i="1"/>
  <c r="E11" i="1"/>
  <c r="F11" i="1" s="1"/>
  <c r="J12" i="1"/>
  <c r="H12" i="1"/>
  <c r="I12" i="1" s="1"/>
  <c r="E13" i="1"/>
  <c r="H13" i="1"/>
  <c r="I13" i="1" s="1"/>
  <c r="J13" i="1"/>
  <c r="E14" i="1"/>
  <c r="J14" i="1"/>
  <c r="H14" i="1"/>
  <c r="I14" i="1" s="1"/>
  <c r="H15" i="1"/>
  <c r="I15" i="1" s="1"/>
  <c r="J15" i="1"/>
  <c r="J16" i="1"/>
  <c r="H16" i="1"/>
  <c r="I16" i="1" s="1"/>
  <c r="H17" i="1"/>
  <c r="I17" i="1" s="1"/>
  <c r="J17" i="1"/>
  <c r="H3" i="1"/>
  <c r="I3" i="1" s="1"/>
  <c r="J3" i="1"/>
  <c r="E3" i="1"/>
  <c r="F3" i="1" s="1"/>
  <c r="J2" i="1"/>
  <c r="H2" i="1"/>
  <c r="I2" i="1" s="1"/>
  <c r="E12" i="1"/>
  <c r="F2" i="1"/>
  <c r="F9" i="1"/>
  <c r="E17" i="1"/>
  <c r="E16" i="1"/>
  <c r="E15" i="1"/>
</calcChain>
</file>

<file path=xl/sharedStrings.xml><?xml version="1.0" encoding="utf-8"?>
<sst xmlns="http://schemas.openxmlformats.org/spreadsheetml/2006/main" count="21" uniqueCount="19">
  <si>
    <t>freq</t>
    <phoneticPr fontId="1" type="noConversion"/>
  </si>
  <si>
    <t>V1</t>
    <phoneticPr fontId="1" type="noConversion"/>
  </si>
  <si>
    <t>N</t>
    <phoneticPr fontId="1" type="noConversion"/>
  </si>
  <si>
    <t>le</t>
    <phoneticPr fontId="1" type="noConversion"/>
  </si>
  <si>
    <t>Ae</t>
    <phoneticPr fontId="1" type="noConversion"/>
  </si>
  <si>
    <t>x</t>
    <phoneticPr fontId="1" type="noConversion"/>
  </si>
  <si>
    <t>y</t>
    <phoneticPr fontId="1" type="noConversion"/>
  </si>
  <si>
    <t>Cm</t>
    <phoneticPr fontId="1" type="noConversion"/>
  </si>
  <si>
    <t>B</t>
    <phoneticPr fontId="1" type="noConversion"/>
  </si>
  <si>
    <t>core_loss_measured</t>
    <phoneticPr fontId="1" type="noConversion"/>
  </si>
  <si>
    <t>core_loss_cal</t>
    <phoneticPr fontId="1" type="noConversion"/>
  </si>
  <si>
    <t>V</t>
    <phoneticPr fontId="1" type="noConversion"/>
  </si>
  <si>
    <t>err</t>
    <phoneticPr fontId="1" type="noConversion"/>
  </si>
  <si>
    <t>y_expec</t>
    <phoneticPr fontId="1" type="noConversion"/>
  </si>
  <si>
    <t>weight</t>
    <phoneticPr fontId="1" type="noConversion"/>
  </si>
  <si>
    <t>core_loss_weight</t>
    <phoneticPr fontId="1" type="noConversion"/>
  </si>
  <si>
    <t>volume</t>
    <phoneticPr fontId="1" type="noConversion"/>
  </si>
  <si>
    <t>V_effective</t>
    <phoneticPr fontId="1" type="noConversion"/>
  </si>
  <si>
    <t>Ae_cal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</si>
</sst>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7</xdr:col>
      <xdr:colOff>642960</xdr:colOff>
      <xdr:row>32</xdr:row>
      <xdr:rowOff>14305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49CC20-9EE1-7D9E-7642-08B8BE9C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1388" y="4500563"/>
          <a:ext cx="3038497" cy="237174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15</xdr:col>
      <xdr:colOff>381038</xdr:colOff>
      <xdr:row>47</xdr:row>
      <xdr:rowOff>123867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36A99C-FA41-A1DF-4402-AD6B09505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2725" y="4500563"/>
          <a:ext cx="5181638" cy="5695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EA6F-4C03-4FDA-9779-88C795A0EF5D}">
  <dimension ref="A1:S19"/>
  <sheetViews>
    <sheetView tabSelected="1" zoomScale="85" zoomScaleNormal="85" workbookViewId="0">
      <selection activeCell="H2" sqref="H2:H9"/>
    </sheetView>
  </sheetViews>
  <sheetFormatPr defaultRowHeight="16.5" x14ac:dyDescent="0.3"/>
  <cols>
    <col min="4" max="4" width="18.75" customWidth="1"/>
    <col min="5" max="5" width="13.5" customWidth="1"/>
  </cols>
  <sheetData>
    <row r="1" spans="1:19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12</v>
      </c>
      <c r="H1" t="s">
        <v>15</v>
      </c>
      <c r="I1" t="s">
        <v>12</v>
      </c>
      <c r="L1" t="s">
        <v>2</v>
      </c>
      <c r="M1">
        <v>4</v>
      </c>
    </row>
    <row r="2" spans="1:19" x14ac:dyDescent="0.3">
      <c r="A2">
        <v>1000</v>
      </c>
      <c r="B2">
        <v>5</v>
      </c>
      <c r="C2">
        <f>B2/4.44/A2/$M$1/$M$3</f>
        <v>0.1127930815430815</v>
      </c>
      <c r="D2">
        <v>1.25</v>
      </c>
      <c r="E2">
        <f>$M$4*POWER(A2,$M$5)*POWER(C2,$M$6)*$M$14</f>
        <v>1.0287395891454381</v>
      </c>
      <c r="F2">
        <f>(1-D2/E2)*100</f>
        <v>-21.507912516359973</v>
      </c>
      <c r="H2">
        <f>6.5*POWER(A2/1000,1.51)*POWER(C2,1.74)*$M$8</f>
        <v>1.0200241830974668</v>
      </c>
      <c r="I2">
        <f>(1-D2/H2)*100</f>
        <v>-22.546114171938036</v>
      </c>
      <c r="J2">
        <f>$M$4*POWER(A2,$M$5)*POWER(C2,$M$6)*$M$9</f>
        <v>1.0197802755872767</v>
      </c>
      <c r="L2" t="s">
        <v>3</v>
      </c>
      <c r="M2">
        <f>39*0.01</f>
        <v>0.39</v>
      </c>
    </row>
    <row r="3" spans="1:19" x14ac:dyDescent="0.3">
      <c r="A3">
        <v>1000</v>
      </c>
      <c r="B3">
        <v>10</v>
      </c>
      <c r="C3">
        <f>B3/4.44/A3/$M$1/$M$3</f>
        <v>0.225586163086163</v>
      </c>
      <c r="D3">
        <v>5.53</v>
      </c>
      <c r="E3">
        <f t="shared" ref="E3:E11" si="0">$M$4*POWER(A3,$M$5)*POWER(C3,$M$6)*$M$14</f>
        <v>3.4363520125322373</v>
      </c>
      <c r="F3">
        <f t="shared" ref="F3:F11" si="1">(1-D3/E3)*100</f>
        <v>-60.926470275231217</v>
      </c>
      <c r="H3">
        <f t="shared" ref="H3:H17" si="2">6.5*POWER(A3/1000,1.51)*POWER(C3,1.74)*$M$8</f>
        <v>3.407239491317942</v>
      </c>
      <c r="I3">
        <f t="shared" ref="I3:I17" si="3">(1-D3/H3)*100</f>
        <v>-62.301476432493487</v>
      </c>
      <c r="J3">
        <f t="shared" ref="J3:J17" si="4">$M$4*POWER(A3,$M$5)*POWER(C3,$M$6)*$M$9</f>
        <v>3.4064247544570714</v>
      </c>
      <c r="L3" t="s">
        <v>4</v>
      </c>
      <c r="M3">
        <f>24.96*0.0001*1</f>
        <v>2.4960000000000004E-3</v>
      </c>
      <c r="O3" t="s">
        <v>18</v>
      </c>
      <c r="P3">
        <f>0.033*0.085</f>
        <v>2.8050000000000002E-3</v>
      </c>
      <c r="S3">
        <f>2496/2805</f>
        <v>0.88983957219251342</v>
      </c>
    </row>
    <row r="4" spans="1:19" x14ac:dyDescent="0.3">
      <c r="A4">
        <v>1000</v>
      </c>
      <c r="B4">
        <v>15</v>
      </c>
      <c r="C4">
        <f t="shared" ref="C4:C19" si="5">B4/4.44/A4/$M$1/$M$3</f>
        <v>0.33837924462924457</v>
      </c>
      <c r="D4">
        <v>10.125</v>
      </c>
      <c r="E4">
        <f t="shared" si="0"/>
        <v>6.9581924512243791</v>
      </c>
      <c r="F4">
        <f t="shared" si="1"/>
        <v>-45.511928147638137</v>
      </c>
      <c r="H4">
        <f t="shared" si="2"/>
        <v>6.8992431571443049</v>
      </c>
      <c r="I4">
        <f t="shared" si="3"/>
        <v>-46.755227629792387</v>
      </c>
      <c r="J4">
        <f t="shared" si="4"/>
        <v>6.8975934146690374</v>
      </c>
      <c r="L4" t="s">
        <v>7</v>
      </c>
      <c r="M4">
        <v>1.377</v>
      </c>
    </row>
    <row r="5" spans="1:19" x14ac:dyDescent="0.3">
      <c r="A5">
        <v>1000</v>
      </c>
      <c r="B5">
        <v>20</v>
      </c>
      <c r="C5">
        <f t="shared" si="5"/>
        <v>0.451172326172326</v>
      </c>
      <c r="D5">
        <v>14.89</v>
      </c>
      <c r="E5">
        <f t="shared" si="0"/>
        <v>11.478624210276136</v>
      </c>
      <c r="F5">
        <f t="shared" si="1"/>
        <v>-29.719378622656368</v>
      </c>
      <c r="H5">
        <f t="shared" si="2"/>
        <v>11.381378151195497</v>
      </c>
      <c r="I5">
        <f t="shared" si="3"/>
        <v>-30.827741616123696</v>
      </c>
      <c r="J5">
        <f t="shared" si="4"/>
        <v>11.378656643555392</v>
      </c>
      <c r="L5" t="s">
        <v>5</v>
      </c>
      <c r="M5">
        <v>1.51</v>
      </c>
    </row>
    <row r="6" spans="1:19" x14ac:dyDescent="0.3">
      <c r="A6">
        <v>1000</v>
      </c>
      <c r="B6">
        <v>25</v>
      </c>
      <c r="C6">
        <f t="shared" si="5"/>
        <v>0.5639654077154076</v>
      </c>
      <c r="D6">
        <v>19.260000000000002</v>
      </c>
      <c r="E6">
        <f t="shared" si="0"/>
        <v>16.924399205112973</v>
      </c>
      <c r="F6">
        <f t="shared" si="1"/>
        <v>-13.80019914787538</v>
      </c>
      <c r="H6">
        <f t="shared" si="2"/>
        <v>16.781016941275873</v>
      </c>
      <c r="I6">
        <f t="shared" si="3"/>
        <v>-14.77254368670966</v>
      </c>
      <c r="J6">
        <f t="shared" si="4"/>
        <v>16.777004275568107</v>
      </c>
      <c r="L6" t="s">
        <v>6</v>
      </c>
      <c r="M6">
        <v>1.74</v>
      </c>
    </row>
    <row r="7" spans="1:19" x14ac:dyDescent="0.3">
      <c r="A7">
        <v>1000</v>
      </c>
      <c r="B7">
        <v>30</v>
      </c>
      <c r="C7">
        <f t="shared" si="5"/>
        <v>0.67675848925848914</v>
      </c>
      <c r="D7">
        <v>23.7</v>
      </c>
      <c r="E7">
        <f t="shared" si="0"/>
        <v>23.242809828300608</v>
      </c>
      <c r="F7">
        <f t="shared" si="1"/>
        <v>-1.9670176500894199</v>
      </c>
      <c r="H7">
        <f t="shared" si="2"/>
        <v>23.045898454920209</v>
      </c>
      <c r="I7">
        <f t="shared" si="3"/>
        <v>-2.8382557805644693</v>
      </c>
      <c r="J7">
        <f t="shared" si="4"/>
        <v>23.04038773487515</v>
      </c>
      <c r="L7" t="s">
        <v>11</v>
      </c>
      <c r="M7">
        <f>0.085*((0.171*0.106)-(0.04*0.105))</f>
        <v>1.1837100000000001E-3</v>
      </c>
    </row>
    <row r="8" spans="1:19" x14ac:dyDescent="0.3">
      <c r="A8">
        <v>1000</v>
      </c>
      <c r="B8">
        <v>35</v>
      </c>
      <c r="C8">
        <f t="shared" si="5"/>
        <v>0.78955157080157057</v>
      </c>
      <c r="D8">
        <v>28.3</v>
      </c>
      <c r="E8">
        <f t="shared" si="0"/>
        <v>30.393173048122936</v>
      </c>
      <c r="F8">
        <f t="shared" si="1"/>
        <v>6.8869842737667275</v>
      </c>
      <c r="H8">
        <f t="shared" si="2"/>
        <v>30.135684324061401</v>
      </c>
      <c r="I8">
        <f t="shared" si="3"/>
        <v>6.0913975084206928</v>
      </c>
      <c r="J8">
        <f t="shared" si="4"/>
        <v>30.128478299093402</v>
      </c>
      <c r="L8" t="s">
        <v>14</v>
      </c>
      <c r="M8">
        <v>6.9939999999999998</v>
      </c>
    </row>
    <row r="9" spans="1:19" x14ac:dyDescent="0.3">
      <c r="A9">
        <v>1000</v>
      </c>
      <c r="B9">
        <v>40</v>
      </c>
      <c r="C9">
        <f t="shared" si="5"/>
        <v>0.902344652344652</v>
      </c>
      <c r="D9">
        <v>37.72</v>
      </c>
      <c r="E9">
        <f t="shared" si="0"/>
        <v>38.34264163863844</v>
      </c>
      <c r="F9">
        <f t="shared" si="1"/>
        <v>1.6238882143451372</v>
      </c>
      <c r="H9">
        <f>6.5*POWER(A9/1000,1.51)*POWER(C9,1.74)*$M$8</f>
        <v>38.017805602037399</v>
      </c>
      <c r="I9">
        <f t="shared" si="3"/>
        <v>0.78333190809266595</v>
      </c>
      <c r="J9">
        <f t="shared" si="4"/>
        <v>38.008714809425868</v>
      </c>
      <c r="L9" s="1" t="s">
        <v>16</v>
      </c>
      <c r="M9">
        <f>M8/(7.18*1000)</f>
        <v>9.7409470752089138E-4</v>
      </c>
    </row>
    <row r="10" spans="1:19" x14ac:dyDescent="0.3">
      <c r="A10">
        <v>200</v>
      </c>
      <c r="B10">
        <v>5</v>
      </c>
      <c r="C10">
        <f t="shared" si="5"/>
        <v>0.56396540771540749</v>
      </c>
      <c r="D10">
        <v>4.37</v>
      </c>
      <c r="E10">
        <f t="shared" si="0"/>
        <v>1.4895961946278407</v>
      </c>
      <c r="F10">
        <f t="shared" si="1"/>
        <v>-193.36809638479218</v>
      </c>
      <c r="H10">
        <f t="shared" si="2"/>
        <v>1.4769764453534109</v>
      </c>
      <c r="I10">
        <f t="shared" si="3"/>
        <v>-195.87472527054058</v>
      </c>
      <c r="J10">
        <f t="shared" si="4"/>
        <v>1.476623271719526</v>
      </c>
    </row>
    <row r="11" spans="1:19" x14ac:dyDescent="0.3">
      <c r="A11">
        <v>200</v>
      </c>
      <c r="B11">
        <v>10</v>
      </c>
      <c r="C11">
        <f t="shared" si="5"/>
        <v>1.127930815430815</v>
      </c>
      <c r="D11">
        <v>14.63</v>
      </c>
      <c r="E11">
        <f t="shared" si="0"/>
        <v>4.9757751478407188</v>
      </c>
      <c r="F11">
        <f t="shared" si="1"/>
        <v>-194.02454020352624</v>
      </c>
      <c r="H11">
        <f t="shared" si="2"/>
        <v>4.9336207471795541</v>
      </c>
      <c r="I11">
        <f t="shared" si="3"/>
        <v>-196.53677795083175</v>
      </c>
      <c r="J11">
        <f t="shared" si="4"/>
        <v>4.9324410230390825</v>
      </c>
      <c r="L11" t="s">
        <v>13</v>
      </c>
      <c r="M11">
        <f>LOG(37.72/23.7)/LOG(4/3)</f>
        <v>1.6153784129251341</v>
      </c>
    </row>
    <row r="12" spans="1:19" x14ac:dyDescent="0.3">
      <c r="C12" t="e">
        <f t="shared" si="5"/>
        <v>#DIV/0!</v>
      </c>
      <c r="E12" t="e">
        <f t="shared" ref="E3:E17" si="6">$M$4*POWER(A12,$M$5)*POWER(C12,$M$6)*$M$7</f>
        <v>#DIV/0!</v>
      </c>
      <c r="H12" t="e">
        <f t="shared" si="2"/>
        <v>#DIV/0!</v>
      </c>
      <c r="I12" t="e">
        <f t="shared" si="3"/>
        <v>#DIV/0!</v>
      </c>
      <c r="J12" t="e">
        <f t="shared" si="4"/>
        <v>#DIV/0!</v>
      </c>
    </row>
    <row r="13" spans="1:19" x14ac:dyDescent="0.3">
      <c r="C13" t="e">
        <f t="shared" si="5"/>
        <v>#DIV/0!</v>
      </c>
      <c r="E13" t="e">
        <f t="shared" si="6"/>
        <v>#DIV/0!</v>
      </c>
      <c r="H13" t="e">
        <f t="shared" si="2"/>
        <v>#DIV/0!</v>
      </c>
      <c r="I13" t="e">
        <f t="shared" si="3"/>
        <v>#DIV/0!</v>
      </c>
      <c r="J13" t="e">
        <f t="shared" si="4"/>
        <v>#DIV/0!</v>
      </c>
      <c r="L13" t="s">
        <v>11</v>
      </c>
      <c r="M13">
        <f>0.085*((2*0.033*0.105)+(2*0.033*0.04)+(0.033*0.033*3.14))</f>
        <v>1.1041041000000001E-3</v>
      </c>
    </row>
    <row r="14" spans="1:19" x14ac:dyDescent="0.3">
      <c r="C14" t="e">
        <f t="shared" si="5"/>
        <v>#DIV/0!</v>
      </c>
      <c r="E14" t="e">
        <f t="shared" si="6"/>
        <v>#DIV/0!</v>
      </c>
      <c r="H14" t="e">
        <f t="shared" si="2"/>
        <v>#DIV/0!</v>
      </c>
      <c r="I14" t="e">
        <f t="shared" si="3"/>
        <v>#DIV/0!</v>
      </c>
      <c r="J14" t="e">
        <f t="shared" si="4"/>
        <v>#DIV/0!</v>
      </c>
      <c r="L14" t="s">
        <v>17</v>
      </c>
      <c r="M14">
        <f>M13*1*0.89</f>
        <v>9.826526490000001E-4</v>
      </c>
      <c r="O14">
        <f>6.994/7.18</f>
        <v>0.97409470752089133</v>
      </c>
    </row>
    <row r="15" spans="1:19" x14ac:dyDescent="0.3">
      <c r="C15" t="e">
        <f t="shared" si="5"/>
        <v>#DIV/0!</v>
      </c>
      <c r="E15" t="e">
        <f t="shared" si="6"/>
        <v>#DIV/0!</v>
      </c>
      <c r="H15" t="e">
        <f t="shared" si="2"/>
        <v>#DIV/0!</v>
      </c>
      <c r="I15" t="e">
        <f t="shared" si="3"/>
        <v>#DIV/0!</v>
      </c>
      <c r="J15" t="e">
        <f t="shared" si="4"/>
        <v>#DIV/0!</v>
      </c>
    </row>
    <row r="16" spans="1:19" x14ac:dyDescent="0.3">
      <c r="C16" t="e">
        <f t="shared" si="5"/>
        <v>#DIV/0!</v>
      </c>
      <c r="E16" t="e">
        <f t="shared" si="6"/>
        <v>#DIV/0!</v>
      </c>
      <c r="H16" t="e">
        <f t="shared" si="2"/>
        <v>#DIV/0!</v>
      </c>
      <c r="I16" t="e">
        <f t="shared" si="3"/>
        <v>#DIV/0!</v>
      </c>
      <c r="J16" t="e">
        <f t="shared" si="4"/>
        <v>#DIV/0!</v>
      </c>
    </row>
    <row r="17" spans="3:10" x14ac:dyDescent="0.3">
      <c r="C17" t="e">
        <f t="shared" si="5"/>
        <v>#DIV/0!</v>
      </c>
      <c r="E17" t="e">
        <f t="shared" si="6"/>
        <v>#DIV/0!</v>
      </c>
      <c r="H17" t="e">
        <f t="shared" si="2"/>
        <v>#DIV/0!</v>
      </c>
      <c r="I17" t="e">
        <f t="shared" si="3"/>
        <v>#DIV/0!</v>
      </c>
      <c r="J17" t="e">
        <f t="shared" si="4"/>
        <v>#DIV/0!</v>
      </c>
    </row>
    <row r="18" spans="3:10" x14ac:dyDescent="0.3">
      <c r="C18" t="e">
        <f t="shared" si="5"/>
        <v>#DIV/0!</v>
      </c>
    </row>
    <row r="19" spans="3:10" x14ac:dyDescent="0.3">
      <c r="C19" t="e">
        <f t="shared" si="5"/>
        <v>#DIV/0!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EunChong Noh</dc:creator>
  <cp:lastModifiedBy>노은총</cp:lastModifiedBy>
  <dcterms:created xsi:type="dcterms:W3CDTF">2026-05-20T10:33:39Z</dcterms:created>
  <dcterms:modified xsi:type="dcterms:W3CDTF">2026-05-21T03:45:02Z</dcterms:modified>
</cp:coreProperties>
</file>